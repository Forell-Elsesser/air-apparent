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df94b416-c2da-49b8-a269-fa7ac2691adb/WOPIServiceId_TP_EGNYTE_PLUS/WOPIUserId_-/"/>
    </mc:Choice>
  </mc:AlternateContent>
  <xr:revisionPtr revIDLastSave="228" documentId="13_ncr:1_{FA9C842E-2584-4740-AC68-8B89B27FD57F}" xr6:coauthVersionLast="47" xr6:coauthVersionMax="47" xr10:uidLastSave="{64C59260-4E76-4355-853F-7CAEEA7B99C7}"/>
  <bookViews>
    <workbookView xWindow="-108" yWindow="-108" windowWidth="23256" windowHeight="13896" tabRatio="603" activeTab="1" xr2:uid="{C5A70D12-9E60-4833-9860-EDE1F395E7E3}"/>
  </bookViews>
  <sheets>
    <sheet name="Chp 26" sheetId="1" r:id="rId1"/>
    <sheet name="Chp 27" sheetId="2" r:id="rId2"/>
    <sheet name="Chp 29" sheetId="4" r:id="rId3"/>
  </sheets>
  <definedNames>
    <definedName name="alpha">'Chp 27'!$B$8</definedName>
    <definedName name="Bx">'Chp 26'!$B$22</definedName>
    <definedName name="By">'Chp 26'!$C$22</definedName>
    <definedName name="exposure">'Chp 26'!$B$11</definedName>
    <definedName name="G">'Chp 26'!$B$13</definedName>
    <definedName name="GCpi">'Chp 26'!$B$15</definedName>
    <definedName name="h">'Chp 26'!$B$18</definedName>
    <definedName name="Kd">'Chp 26'!$B$10</definedName>
    <definedName name="Kzt">'Chp 26'!$B$12</definedName>
    <definedName name="Lx">'Chp 26'!$B$21</definedName>
    <definedName name="Ly">'Chp 26'!$C$21</definedName>
    <definedName name="_xlnm.Print_Area" localSheetId="1">'Chp 27'!$A$1:$H$73</definedName>
    <definedName name="qh">'Chp 27'!$B$11</definedName>
    <definedName name="V">'Chp 26'!$B$9</definedName>
    <definedName name="zg">'Chp 27'!$B$9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4" l="1"/>
  <c r="H19" i="4" s="1" a="1"/>
  <c r="G18" i="4"/>
  <c r="H18" i="4" s="1" a="1"/>
  <c r="E17" i="4"/>
  <c r="G17" i="4" s="1"/>
  <c r="H17" i="4" s="1" a="1"/>
  <c r="E16" i="4"/>
  <c r="G16" i="4" s="1"/>
  <c r="H16" i="4" s="1" a="1"/>
  <c r="B19" i="4"/>
  <c r="B18" i="4"/>
  <c r="B32" i="4"/>
  <c r="D48" i="2"/>
  <c r="C24" i="2"/>
  <c r="C26" i="2" s="1" a="1"/>
  <c r="C22" i="1"/>
  <c r="C21" i="1"/>
  <c r="B9" i="2"/>
  <c r="B8" i="2"/>
  <c r="B68" i="2" l="1"/>
  <c r="B69" i="2" s="1"/>
  <c r="B60" i="2"/>
  <c r="D24" i="2"/>
  <c r="D26" i="2" s="1" a="1"/>
  <c r="C72" i="2"/>
  <c r="B72" i="2"/>
  <c r="C18" i="4"/>
  <c r="D18" i="4" s="1"/>
  <c r="I18" i="4" s="1"/>
  <c r="B27" i="4" s="1"/>
  <c r="C19" i="4"/>
  <c r="D19" i="4" s="1"/>
  <c r="I19" i="4" s="1"/>
  <c r="B17" i="4"/>
  <c r="C17" i="4" s="1"/>
  <c r="D17" i="4" s="1"/>
  <c r="I17" i="4" s="1"/>
  <c r="B33" i="4"/>
  <c r="B34" i="4" s="1"/>
  <c r="B16" i="4"/>
  <c r="C16" i="4" s="1"/>
  <c r="D16" i="4" s="1"/>
  <c r="I16" i="4" s="1"/>
  <c r="B10" i="2"/>
  <c r="B11" i="2" s="1"/>
  <c r="C38" i="2" s="1"/>
  <c r="D49" i="2"/>
  <c r="D50" i="2" s="1"/>
  <c r="D51" i="2" s="1"/>
  <c r="C49" i="2"/>
  <c r="C50" i="2" s="1"/>
  <c r="C51" i="2" s="1"/>
  <c r="D35" i="2" l="1"/>
  <c r="C35" i="2"/>
  <c r="B24" i="4"/>
  <c r="B23" i="4"/>
  <c r="B37" i="4"/>
  <c r="C37" i="4"/>
  <c r="C34" i="2"/>
  <c r="C39" i="2" l="1"/>
  <c r="C53" i="2"/>
  <c r="C40" i="2"/>
  <c r="D52" i="2"/>
  <c r="D53" i="2"/>
  <c r="C52" i="2"/>
  <c r="D36" i="2"/>
  <c r="D37" i="2"/>
  <c r="C37" i="2"/>
  <c r="C36" i="2"/>
  <c r="B61" i="2"/>
  <c r="C64" i="2" l="1"/>
  <c r="B6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<sst xmlns="http://schemas.openxmlformats.org/spreadsheetml/2006/main" count="247" uniqueCount="167">
  <si>
    <t>Ref: Chp 26, ASCE 7-10</t>
  </si>
  <si>
    <t>All references are to ASCE 7-10 unless noted otherwise.</t>
  </si>
  <si>
    <t>Chapter 1</t>
  </si>
  <si>
    <t>IV</t>
  </si>
  <si>
    <t>Chapter 26</t>
  </si>
  <si>
    <t>V =</t>
  </si>
  <si>
    <t>mph</t>
  </si>
  <si>
    <t>(basic wind speed; Fig. 26.5-1A, B, or C)</t>
  </si>
  <si>
    <t>Exp. Cat. =</t>
  </si>
  <si>
    <t>Risk Cat. =</t>
  </si>
  <si>
    <t>(risk category; Table 1.5-1)</t>
  </si>
  <si>
    <t>(exposure category; Sec. 26.7)</t>
  </si>
  <si>
    <t>(directionality factor; Sec. 26.6 and Table 26.6-1)</t>
  </si>
  <si>
    <t>(topographic factor; Sec. 26.8, Fig. 26.8-1)</t>
  </si>
  <si>
    <t>G =</t>
  </si>
  <si>
    <t>(gust factor; Sec. 26.9)</t>
  </si>
  <si>
    <t>C</t>
  </si>
  <si>
    <t>Enclosure =</t>
  </si>
  <si>
    <t>Enclosed</t>
  </si>
  <si>
    <r>
      <t>K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=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</si>
  <si>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zt</t>
    </r>
    <r>
      <rPr>
        <sz val="11"/>
        <color theme="1"/>
        <rFont val="Aptos Narrow"/>
        <family val="2"/>
        <scheme val="minor"/>
      </rPr>
      <t xml:space="preserve"> =</t>
    </r>
  </si>
  <si>
    <t>(magnitude of internal pressure coefficient; Sec. 26,11, Fig. 26.11-1)</t>
  </si>
  <si>
    <t>(enclosure classification)</t>
  </si>
  <si>
    <t>Exposure and Velocity Pressure</t>
  </si>
  <si>
    <t>Ref: Chp 27, ASCE 7-10</t>
  </si>
  <si>
    <t>External Coefficients</t>
  </si>
  <si>
    <t>α</t>
  </si>
  <si>
    <t>â</t>
  </si>
  <si>
    <t>b̂</t>
  </si>
  <si>
    <t>ᾱ</t>
  </si>
  <si>
    <t>b̄</t>
  </si>
  <si>
    <t>ℓ (ft)</t>
  </si>
  <si>
    <t>ε̄</t>
  </si>
  <si>
    <t>B</t>
  </si>
  <si>
    <t>1/4.0</t>
  </si>
  <si>
    <t>1/3.0</t>
  </si>
  <si>
    <t>1/9.5</t>
  </si>
  <si>
    <t>1/6.5</t>
  </si>
  <si>
    <t>1/5.0</t>
  </si>
  <si>
    <t>D</t>
  </si>
  <si>
    <t>1/11.5</t>
  </si>
  <si>
    <t>1/9.0</t>
  </si>
  <si>
    <t>1/8.0</t>
  </si>
  <si>
    <t>1/7</t>
  </si>
  <si>
    <r>
      <t>z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</si>
  <si>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z</t>
    </r>
    <r>
      <rPr>
        <vertAlign val="subscript"/>
        <sz val="11"/>
        <color theme="1"/>
        <rFont val="Aptos Narrow"/>
        <family val="2"/>
        <scheme val="minor"/>
      </rPr>
      <t>g</t>
    </r>
  </si>
  <si>
    <t>Table 26.9-1</t>
  </si>
  <si>
    <t>α =</t>
  </si>
  <si>
    <r>
      <t>z</t>
    </r>
    <r>
      <rPr>
        <vertAlign val="subscript"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=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</si>
  <si>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=</t>
    </r>
  </si>
  <si>
    <t>US customary units.</t>
  </si>
  <si>
    <t>Building Geometry</t>
  </si>
  <si>
    <t>h =</t>
  </si>
  <si>
    <t>ft</t>
  </si>
  <si>
    <t>(mean roof height)</t>
  </si>
  <si>
    <r>
      <t>K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</si>
  <si>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=</t>
    </r>
  </si>
  <si>
    <t>psf</t>
  </si>
  <si>
    <t>(velocity pressure at mean roof height; Eqn. 27.3-1)</t>
  </si>
  <si>
    <t>(3s gust-speed power law exponent; Table 26.9-1)</t>
  </si>
  <si>
    <t>(nominal height of the atmospheric boundary layer; Table 26.9-1)</t>
  </si>
  <si>
    <t>(velocity pressure exposure coefficcient; Table 27.3-1, Note 1)</t>
  </si>
  <si>
    <t>L =</t>
  </si>
  <si>
    <t>B =</t>
  </si>
  <si>
    <t>X</t>
  </si>
  <si>
    <t>Y</t>
  </si>
  <si>
    <t>(dimension parallel to wind)</t>
  </si>
  <si>
    <t>(dimension perpendicular to wind)</t>
  </si>
  <si>
    <t>Ref: Fig. 27.4-1</t>
  </si>
  <si>
    <t>L/B</t>
  </si>
  <si>
    <t>Direction</t>
  </si>
  <si>
    <t>Windward</t>
  </si>
  <si>
    <t>Leedward</t>
  </si>
  <si>
    <t>Side</t>
  </si>
  <si>
    <t>Roof uplift omitted for simplicity</t>
  </si>
  <si>
    <t>Use with</t>
  </si>
  <si>
    <t>-</t>
  </si>
  <si>
    <r>
      <t>q</t>
    </r>
    <r>
      <rPr>
        <vertAlign val="subscript"/>
        <sz val="11"/>
        <color theme="1"/>
        <rFont val="Aptos Narrow"/>
        <family val="2"/>
        <scheme val="minor"/>
      </rPr>
      <t>z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</si>
  <si>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</si>
  <si>
    <t>z</t>
  </si>
  <si>
    <t>Wall</t>
  </si>
  <si>
    <t>Parapet</t>
  </si>
  <si>
    <r>
      <t>C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</si>
  <si>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 xml:space="preserve">Applicable to </t>
    </r>
    <r>
      <rPr>
        <i/>
        <u/>
        <sz val="11"/>
        <color theme="1"/>
        <rFont val="Aptos Narrow"/>
        <family val="2"/>
        <scheme val="minor"/>
      </rPr>
      <t>flat roof structures only</t>
    </r>
    <r>
      <rPr>
        <i/>
        <sz val="11"/>
        <color theme="1"/>
        <rFont val="Aptos Narrow"/>
        <family val="2"/>
        <scheme val="minor"/>
      </rPr>
      <t xml:space="preserve"> (i.e. roof slope θ &lt;= 10 deg)</t>
    </r>
  </si>
  <si>
    <t>Story</t>
  </si>
  <si>
    <t>L2</t>
  </si>
  <si>
    <t>R</t>
  </si>
  <si>
    <t>z =</t>
  </si>
  <si>
    <r>
      <t>q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</si>
  <si>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</si>
  <si>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z,windward</t>
    </r>
    <r>
      <rPr>
        <sz val="11"/>
        <color theme="1"/>
        <rFont val="Aptos Narrow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</si>
  <si>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z,side</t>
    </r>
    <r>
      <rPr>
        <sz val="11"/>
        <color theme="1"/>
        <rFont val="Aptos Narrow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</si>
  <si>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z,leeward</t>
    </r>
    <r>
      <rPr>
        <sz val="11"/>
        <color theme="1"/>
        <rFont val="Aptos Narrow"/>
        <family val="2"/>
        <scheme val="minor"/>
      </rPr>
      <t xml:space="preserve"> =</t>
    </r>
  </si>
  <si>
    <t>Ref: Sec. 27.4.5</t>
  </si>
  <si>
    <t>c2</t>
  </si>
  <si>
    <t>Ref: Chp 29, ASCE 7-10</t>
  </si>
  <si>
    <r>
      <t>h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</si>
  <si>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t>(height to top of parapet)</t>
  </si>
  <si>
    <r>
      <t>K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</si>
  <si>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</si>
  <si>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t>(combined net pressure on parapet)</t>
  </si>
  <si>
    <r>
      <t>GC</t>
    </r>
    <r>
      <rPr>
        <vertAlign val="subscript"/>
        <sz val="11"/>
        <color theme="1"/>
        <rFont val="Aptos Narrow"/>
        <family val="2"/>
        <scheme val="minor"/>
      </rPr>
      <t>pn</t>
    </r>
    <r>
      <rPr>
        <sz val="11"/>
        <color theme="1"/>
        <rFont val="Aptos Narrow"/>
        <family val="2"/>
        <scheme val="minor"/>
      </rPr>
      <t xml:space="preserve"> =</t>
    </r>
  </si>
  <si>
    <t>Leeward</t>
  </si>
  <si>
    <r>
      <t>p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</si>
  <si>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t>velocity pressure at mean roof height; Eqn. 27.3-1</t>
  </si>
  <si>
    <t>velocity pressure exposure coefficcient; Table 27.3-1, Note 1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</si>
  <si>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z</t>
    </r>
  </si>
  <si>
    <t>General Wind Design Parameters</t>
  </si>
  <si>
    <t>MWFRS Wind Loads on Rooftop Components</t>
  </si>
  <si>
    <t>MWFRS Wind Loads on Walls and Parapets</t>
  </si>
  <si>
    <t>Penthouse Parapet</t>
  </si>
  <si>
    <t>Ref: Sec. 29.5, Sec. 27.4.5</t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</si>
  <si>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z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</si>
  <si>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f</t>
    </r>
  </si>
  <si>
    <t>Penthouse and Mechanical Platform</t>
  </si>
  <si>
    <t>Element</t>
  </si>
  <si>
    <t>Waffle slab</t>
  </si>
  <si>
    <t>Chiller</t>
  </si>
  <si>
    <t>element centroid height above grade (ft)</t>
  </si>
  <si>
    <t>h</t>
  </si>
  <si>
    <t>h/D</t>
  </si>
  <si>
    <t>D =</t>
  </si>
  <si>
    <t>min horizontal dimension of element</t>
  </si>
  <si>
    <t>height of element (not height from grade)</t>
  </si>
  <si>
    <t>PH1</t>
  </si>
  <si>
    <t>PH2</t>
  </si>
  <si>
    <t>Assume wind normal to face and rectangular section.</t>
  </si>
  <si>
    <r>
      <t>C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=</t>
    </r>
  </si>
  <si>
    <t>Ref: Sec. 29.5, Fig. 29.5-1</t>
  </si>
  <si>
    <t>force coefficient from Fig 29.5-1 interpolated based on h/D</t>
  </si>
  <si>
    <r>
      <t>F/A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</si>
  <si>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F/A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=</t>
    </r>
  </si>
  <si>
    <t>design wind pressure (psf)</t>
  </si>
  <si>
    <t>(length of chiller)</t>
  </si>
  <si>
    <t>k</t>
  </si>
  <si>
    <r>
      <t>P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</si>
  <si>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t>(point load per chiller in X direction to be applied in ETABS)</t>
  </si>
  <si>
    <r>
      <t>P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</t>
    </r>
  </si>
  <si>
    <t>(point load per chiller in Y direction to be applied in ETABS)</t>
  </si>
  <si>
    <t>Waffle Slab</t>
  </si>
  <si>
    <t>w =</t>
  </si>
  <si>
    <t>plf</t>
  </si>
  <si>
    <t>(line load to be applied in ETABS)</t>
  </si>
  <si>
    <r>
      <t>|GC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>| =</t>
    </r>
  </si>
  <si>
    <t>Max</t>
  </si>
  <si>
    <t>Min</t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</si>
  <si>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>; Sec. 27.4.1</t>
    </r>
  </si>
  <si>
    <t>deisgn wind pressure; Eqn. 27.4-1</t>
  </si>
  <si>
    <r>
      <t>q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</si>
  <si>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z,leeward</t>
    </r>
  </si>
  <si>
    <t>Unit</t>
  </si>
  <si>
    <r>
      <t>p</t>
    </r>
    <r>
      <rPr>
        <vertAlign val="subscript"/>
        <sz val="11"/>
        <color theme="1"/>
        <rFont val="Aptos Narrow"/>
        <family val="2"/>
        <scheme val="minor"/>
      </rPr>
      <t>z,side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</si>
  <si>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z,windward</t>
    </r>
  </si>
  <si>
    <t>story elevation</t>
  </si>
  <si>
    <t>velocity pressure at story height; Eqn. 27.3-1</t>
  </si>
  <si>
    <t>Net Pressures - Story-Dependent</t>
  </si>
  <si>
    <t>Net Pressures - Story-Independent</t>
  </si>
  <si>
    <r>
      <t>K</t>
    </r>
    <r>
      <rPr>
        <vertAlign val="subscript"/>
        <sz val="11"/>
        <color theme="1"/>
        <rFont val="Aptos Narrow"/>
        <family val="2"/>
        <scheme val="minor"/>
      </rPr>
      <t>z</t>
    </r>
  </si>
  <si>
    <t>Ext. Only</t>
  </si>
  <si>
    <r>
      <t>"Max" pressures are net demands including positive GC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>.</t>
    </r>
  </si>
  <si>
    <r>
      <t>"Min" pressures are net demands including negative GC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>.</t>
    </r>
  </si>
  <si>
    <r>
      <t>"Ext. Only" pressures do not include GC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 xml:space="preserve">. These are only used when GCpi on windward and </t>
    </r>
  </si>
  <si>
    <t>leeward walls cancel out.</t>
  </si>
  <si>
    <t>When combining windward, leeward, and side pressures, they must be all "Max," all "Min,"</t>
  </si>
  <si>
    <t>or all "Ext. Only."</t>
  </si>
  <si>
    <t>Typical Parapet</t>
  </si>
  <si>
    <t>Picture Frame Paramet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</si>
</sst>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B05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43">
    <xf numFmtId="0" fontId="0" fillId="0" borderId="0" xfId="0"/>
    <xf numFmtId="0" fontId="1" fillId="0" borderId="0" xfId="1"/>
    <xf numFmtId="0" fontId="2" fillId="0" borderId="1" xfId="2"/>
    <xf numFmtId="0" fontId="3" fillId="0" borderId="2" xfId="3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0" fillId="0" borderId="3" xfId="0" applyBorder="1"/>
    <xf numFmtId="2" fontId="4" fillId="0" borderId="3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164" fontId="6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/>
    <xf numFmtId="164" fontId="6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2" fontId="4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5" fillId="0" borderId="0" xfId="0" applyFont="1"/>
    <xf numFmtId="164" fontId="4" fillId="2" borderId="3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quotePrefix="1"/>
    <xf numFmtId="0" fontId="3" fillId="0" borderId="2" xfId="3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/>
    </xf>
  </cellXfs>
  <cellStyles count="4"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2EE44-A68C-4B63-8AF5-75EE53BE2A97}" name="Table26_9_1" displayName="Table26_9_1" ref="J9:T12" totalsRowShown="0">
  <autoFilter ref="J9:T12" xr:uid="{D902EE44-A68C-4B63-8AF5-75EE53BE2A97}"/>
  <tableColumns count="11">
    <tableColumn id="1" xr3:uid="{AD27D48B-4267-457B-823A-BCE58F19E16D}" name="C"/>
    <tableColumn id="2" xr3:uid="{A2285B0E-BD30-401A-8589-338EF782407C}" name="α"/>
    <tableColumn id="3" xr3:uid="{971511FD-687D-4911-92B9-473E488D07FA}" name="zg"/>
    <tableColumn id="4" xr3:uid="{ADE75320-2713-4183-BD3D-D44C57D16531}" name="â"/>
    <tableColumn id="5" xr3:uid="{4EE2F59D-AAB0-4FD3-9097-B5E3CC77C76B}" name="b̂"/>
    <tableColumn id="6" xr3:uid="{B737F3BD-78CD-4CCF-8A5D-F5CD9A3298B7}" name="ᾱ"/>
    <tableColumn id="7" xr3:uid="{4A0F8B00-F4E2-49C8-ADE3-DE1AE643AC7C}" name="b̄"/>
    <tableColumn id="8" xr3:uid="{A5EA14C5-4C89-4BC8-BDB2-68F855B7FA4C}" name="c2"/>
    <tableColumn id="9" xr3:uid="{F502D611-0846-472F-A53C-816C991EFF54}" name="ℓ (ft)"/>
    <tableColumn id="10" xr3:uid="{9A493AE6-C7AE-41EB-8C29-F154C803BE2E}" name="ε̄"/>
    <tableColumn id="11" xr3:uid="{A2FE96DB-0A4A-4949-B247-30B0B15D7171}" name="zmi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C25F2A-8FF7-4B62-9BC6-48C26A1F6D17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20a8da7e-92e8-4253-8ce0-29507a83ca6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1067-C8C5-45E2-B165-4CDD38F14091}">
  <dimension ref="A1:Q22"/>
  <sheetViews>
    <sheetView workbookViewId="0">
      <selection activeCell="B23" sqref="B23"/>
    </sheetView>
  </sheetViews>
  <sheetFormatPr defaultColWidth="10.6640625" defaultRowHeight="14.4" x14ac:dyDescent="0.3"/>
  <sheetData>
    <row r="1" spans="1:4" ht="23.4" x14ac:dyDescent="0.45">
      <c r="A1" s="1" t="s">
        <v>107</v>
      </c>
    </row>
    <row r="2" spans="1:4" x14ac:dyDescent="0.3">
      <c r="A2" s="8" t="s">
        <v>0</v>
      </c>
    </row>
    <row r="3" spans="1:4" x14ac:dyDescent="0.3">
      <c r="A3" s="8" t="s">
        <v>1</v>
      </c>
    </row>
    <row r="5" spans="1:4" ht="20.399999999999999" thickBot="1" x14ac:dyDescent="0.45">
      <c r="A5" s="2" t="s">
        <v>2</v>
      </c>
    </row>
    <row r="6" spans="1:4" ht="15" thickTop="1" x14ac:dyDescent="0.3">
      <c r="A6" s="4" t="s">
        <v>9</v>
      </c>
      <c r="B6" s="6" t="s">
        <v>3</v>
      </c>
      <c r="C6" t="s">
        <v>10</v>
      </c>
    </row>
    <row r="8" spans="1:4" ht="20.399999999999999" thickBot="1" x14ac:dyDescent="0.45">
      <c r="A8" s="2" t="s">
        <v>4</v>
      </c>
    </row>
    <row r="9" spans="1:4" ht="15" thickTop="1" x14ac:dyDescent="0.3">
      <c r="A9" s="4" t="s">
        <v>5</v>
      </c>
      <c r="B9" s="6">
        <v>120</v>
      </c>
      <c r="C9" t="s">
        <v>6</v>
      </c>
      <c r="D9" t="s">
        <v>7</v>
      </c>
    </row>
    <row r="10" spans="1:4" ht="15.6" x14ac:dyDescent="0.35">
      <c r="A10" s="4" t="s">
        <v>19</v>
      </c>
      <c r="B10" s="6">
        <v>0.85</v>
      </c>
      <c r="D10" t="s">
        <v>12</v>
      </c>
    </row>
    <row r="11" spans="1:4" x14ac:dyDescent="0.3">
      <c r="A11" s="4" t="s">
        <v>8</v>
      </c>
      <c r="B11" s="6" t="s">
        <v>16</v>
      </c>
      <c r="D11" t="s">
        <v>11</v>
      </c>
    </row>
    <row r="12" spans="1:4" ht="15.6" x14ac:dyDescent="0.35">
      <c r="A12" s="4" t="s">
        <v>20</v>
      </c>
      <c r="B12" s="6">
        <v>1</v>
      </c>
      <c r="D12" t="s">
        <v>13</v>
      </c>
    </row>
    <row r="13" spans="1:4" x14ac:dyDescent="0.3">
      <c r="A13" s="4" t="s">
        <v>14</v>
      </c>
      <c r="B13" s="6">
        <v>0.85</v>
      </c>
      <c r="D13" t="s">
        <v>15</v>
      </c>
    </row>
    <row r="14" spans="1:4" x14ac:dyDescent="0.3">
      <c r="A14" s="4" t="s">
        <v>17</v>
      </c>
      <c r="B14" s="6" t="s">
        <v>18</v>
      </c>
      <c r="D14" t="s">
        <v>22</v>
      </c>
    </row>
    <row r="15" spans="1:4" ht="15.6" x14ac:dyDescent="0.35">
      <c r="A15" s="4" t="s">
        <v>143</v>
      </c>
      <c r="B15" s="6">
        <v>0.18</v>
      </c>
      <c r="D15" t="s">
        <v>21</v>
      </c>
    </row>
    <row r="17" spans="1:17" ht="20.399999999999999" thickBot="1" x14ac:dyDescent="0.45">
      <c r="A17" s="2" t="s">
        <v>51</v>
      </c>
    </row>
    <row r="18" spans="1:17" ht="15" thickTop="1" x14ac:dyDescent="0.3">
      <c r="A18" s="4" t="s">
        <v>52</v>
      </c>
      <c r="B18" s="6">
        <v>62</v>
      </c>
      <c r="C18" t="s">
        <v>53</v>
      </c>
      <c r="D18" t="s">
        <v>54</v>
      </c>
    </row>
    <row r="20" spans="1:17" x14ac:dyDescent="0.3">
      <c r="B20" s="13" t="s">
        <v>64</v>
      </c>
      <c r="C20" s="13" t="s">
        <v>65</v>
      </c>
      <c r="Q20" s="29"/>
    </row>
    <row r="21" spans="1:17" x14ac:dyDescent="0.3">
      <c r="A21" s="4" t="s">
        <v>62</v>
      </c>
      <c r="B21" s="6">
        <v>1472</v>
      </c>
      <c r="C21" s="10">
        <f>B22</f>
        <v>240</v>
      </c>
      <c r="D21" t="s">
        <v>53</v>
      </c>
      <c r="E21" t="s">
        <v>66</v>
      </c>
    </row>
    <row r="22" spans="1:17" x14ac:dyDescent="0.3">
      <c r="A22" s="4" t="s">
        <v>63</v>
      </c>
      <c r="B22" s="6">
        <v>240</v>
      </c>
      <c r="C22" s="10">
        <f>B21</f>
        <v>1472</v>
      </c>
      <c r="D22" t="s">
        <v>53</v>
      </c>
      <c r="E22" t="s">
        <v>67</v>
      </c>
    </row>
  </sheetData>
  <dataValidations count="2">
    <dataValidation type="list" allowBlank="1" showInputMessage="1" showErrorMessage="1" sqref="B6" xr:uid="{96FDCF99-EC39-4A18-B0E0-5CCB34D0D2EC}">
      <formula1>"I, II, III, IV"</formula1>
    </dataValidation>
    <dataValidation type="list" allowBlank="1" showInputMessage="1" showErrorMessage="1" sqref="B14" xr:uid="{10E89A2F-ED32-44FB-825F-C2470EA3636A}">
      <formula1>"Open, Partial, Enclosed"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02EE-A531-4CF5-B1D0-43D1A06BAF90}">
  <dimension ref="A1:T72"/>
  <sheetViews>
    <sheetView tabSelected="1" topLeftCell="A9" zoomScaleNormal="100" workbookViewId="0">
      <selection activeCell="K21" sqref="K21"/>
    </sheetView>
  </sheetViews>
  <sheetFormatPr defaultColWidth="10.6640625" defaultRowHeight="14.4" x14ac:dyDescent="0.3"/>
  <sheetData>
    <row r="1" spans="1:20" ht="23.4" x14ac:dyDescent="0.45">
      <c r="A1" s="7" t="s">
        <v>109</v>
      </c>
    </row>
    <row r="2" spans="1:20" x14ac:dyDescent="0.3">
      <c r="A2" s="8" t="s">
        <v>24</v>
      </c>
    </row>
    <row r="3" spans="1:20" x14ac:dyDescent="0.3">
      <c r="A3" s="8" t="s">
        <v>1</v>
      </c>
    </row>
    <row r="4" spans="1:20" x14ac:dyDescent="0.3">
      <c r="A4" s="8" t="s">
        <v>83</v>
      </c>
    </row>
    <row r="5" spans="1:20" x14ac:dyDescent="0.3">
      <c r="A5" s="8" t="s">
        <v>74</v>
      </c>
    </row>
    <row r="7" spans="1:20" ht="20.399999999999999" thickBot="1" x14ac:dyDescent="0.45">
      <c r="A7" s="2" t="s">
        <v>23</v>
      </c>
      <c r="J7" s="2" t="s">
        <v>46</v>
      </c>
    </row>
    <row r="8" spans="1:20" ht="15" thickTop="1" x14ac:dyDescent="0.3">
      <c r="A8" s="9" t="s">
        <v>47</v>
      </c>
      <c r="B8" s="10">
        <f>_xlfn.XLOOKUP(exposure,Table26_9_1[C],Table26_9_1[α])</f>
        <v>9.5</v>
      </c>
      <c r="D8" t="s">
        <v>59</v>
      </c>
      <c r="J8" s="8" t="s">
        <v>50</v>
      </c>
    </row>
    <row r="9" spans="1:20" ht="15.6" x14ac:dyDescent="0.35">
      <c r="A9" s="4" t="s">
        <v>48</v>
      </c>
      <c r="B9" s="10">
        <f>_xlfn.XLOOKUP(exposure,Table26_9_1[C],Table26_9_1[zg])</f>
        <v>900</v>
      </c>
      <c r="D9" t="s">
        <v>60</v>
      </c>
      <c r="J9" t="s">
        <v>16</v>
      </c>
      <c r="K9" t="s">
        <v>26</v>
      </c>
      <c r="L9" t="s">
        <v>45</v>
      </c>
      <c r="M9" t="s">
        <v>27</v>
      </c>
      <c r="N9" t="s">
        <v>28</v>
      </c>
      <c r="O9" t="s">
        <v>29</v>
      </c>
      <c r="P9" t="s">
        <v>30</v>
      </c>
      <c r="Q9" t="s">
        <v>94</v>
      </c>
      <c r="R9" t="s">
        <v>31</v>
      </c>
      <c r="S9" t="s">
        <v>32</v>
      </c>
      <c r="T9" t="s">
        <v>44</v>
      </c>
    </row>
    <row r="10" spans="1:20" ht="15.6" x14ac:dyDescent="0.35">
      <c r="A10" s="4" t="s">
        <v>55</v>
      </c>
      <c r="B10" s="11">
        <f>2.01*(MAX(h,15)/zg)^(2/alpha)</f>
        <v>1.1444475263859097</v>
      </c>
      <c r="D10" t="s">
        <v>61</v>
      </c>
      <c r="J10" t="s">
        <v>33</v>
      </c>
      <c r="K10">
        <v>7</v>
      </c>
      <c r="L10">
        <v>1200</v>
      </c>
      <c r="M10" t="s">
        <v>43</v>
      </c>
      <c r="N10">
        <v>0.84</v>
      </c>
      <c r="O10" t="s">
        <v>34</v>
      </c>
      <c r="P10">
        <v>0.45</v>
      </c>
      <c r="Q10">
        <v>0.3</v>
      </c>
      <c r="R10">
        <v>320</v>
      </c>
      <c r="S10" t="s">
        <v>35</v>
      </c>
      <c r="T10">
        <v>30</v>
      </c>
    </row>
    <row r="11" spans="1:20" ht="15.6" x14ac:dyDescent="0.35">
      <c r="A11" s="4" t="s">
        <v>56</v>
      </c>
      <c r="B11" s="12">
        <f>0.00256*B10*Kzt*Kd*V^2</f>
        <v>35.860576570786655</v>
      </c>
      <c r="C11" t="s">
        <v>57</v>
      </c>
      <c r="D11" t="s">
        <v>58</v>
      </c>
      <c r="J11" t="s">
        <v>16</v>
      </c>
      <c r="K11">
        <v>9.5</v>
      </c>
      <c r="L11">
        <v>900</v>
      </c>
      <c r="M11" t="s">
        <v>36</v>
      </c>
      <c r="N11">
        <v>1</v>
      </c>
      <c r="O11" t="s">
        <v>37</v>
      </c>
      <c r="P11">
        <v>0.65</v>
      </c>
      <c r="Q11">
        <v>0.2</v>
      </c>
      <c r="R11">
        <v>500</v>
      </c>
      <c r="S11" t="s">
        <v>38</v>
      </c>
      <c r="T11">
        <v>15</v>
      </c>
    </row>
    <row r="12" spans="1:20" x14ac:dyDescent="0.3">
      <c r="J12" t="s">
        <v>39</v>
      </c>
      <c r="K12">
        <v>11.5</v>
      </c>
      <c r="L12">
        <v>700</v>
      </c>
      <c r="M12" t="s">
        <v>40</v>
      </c>
      <c r="N12">
        <v>1.07</v>
      </c>
      <c r="O12" t="s">
        <v>41</v>
      </c>
      <c r="P12">
        <v>0.8</v>
      </c>
      <c r="Q12">
        <v>0.15</v>
      </c>
      <c r="R12">
        <v>650</v>
      </c>
      <c r="S12" t="s">
        <v>42</v>
      </c>
      <c r="T12">
        <v>7</v>
      </c>
    </row>
    <row r="13" spans="1:20" ht="20.399999999999999" thickBot="1" x14ac:dyDescent="0.45">
      <c r="A13" s="2" t="s">
        <v>80</v>
      </c>
    </row>
    <row r="14" spans="1:20" ht="16.2" thickTop="1" x14ac:dyDescent="0.35">
      <c r="A14">
        <v>1</v>
      </c>
      <c r="B14" s="33" t="s">
        <v>159</v>
      </c>
    </row>
    <row r="15" spans="1:20" ht="15.6" x14ac:dyDescent="0.35">
      <c r="A15">
        <v>2</v>
      </c>
      <c r="B15" s="33" t="s">
        <v>160</v>
      </c>
    </row>
    <row r="16" spans="1:20" ht="15.6" x14ac:dyDescent="0.35">
      <c r="A16">
        <v>3</v>
      </c>
      <c r="B16" s="33" t="s">
        <v>161</v>
      </c>
    </row>
    <row r="17" spans="1:5" x14ac:dyDescent="0.3">
      <c r="B17" s="33" t="s">
        <v>162</v>
      </c>
    </row>
    <row r="18" spans="1:5" x14ac:dyDescent="0.3">
      <c r="A18">
        <v>4</v>
      </c>
      <c r="B18" s="33" t="s">
        <v>163</v>
      </c>
    </row>
    <row r="19" spans="1:5" x14ac:dyDescent="0.3">
      <c r="B19" s="33" t="s">
        <v>164</v>
      </c>
    </row>
    <row r="21" spans="1:5" ht="18" thickBot="1" x14ac:dyDescent="0.4">
      <c r="A21" s="3" t="s">
        <v>25</v>
      </c>
    </row>
    <row r="22" spans="1:5" ht="15" thickTop="1" x14ac:dyDescent="0.3">
      <c r="A22" s="8" t="s">
        <v>68</v>
      </c>
    </row>
    <row r="23" spans="1:5" x14ac:dyDescent="0.3">
      <c r="A23" s="39" t="s">
        <v>70</v>
      </c>
      <c r="B23" s="39"/>
      <c r="C23" s="14" t="s">
        <v>64</v>
      </c>
      <c r="D23" s="14" t="s">
        <v>65</v>
      </c>
      <c r="E23" s="14" t="s">
        <v>75</v>
      </c>
    </row>
    <row r="24" spans="1:5" x14ac:dyDescent="0.3">
      <c r="A24" s="40" t="s">
        <v>69</v>
      </c>
      <c r="B24" s="40"/>
      <c r="C24" s="16">
        <f>Lx/Bx</f>
        <v>6.1333333333333337</v>
      </c>
      <c r="D24" s="16">
        <f>Ly/By</f>
        <v>0.16304347826086957</v>
      </c>
      <c r="E24" s="15" t="s">
        <v>76</v>
      </c>
    </row>
    <row r="25" spans="1:5" ht="15.6" x14ac:dyDescent="0.35">
      <c r="A25" s="41" t="s">
        <v>82</v>
      </c>
      <c r="B25" s="17" t="s">
        <v>71</v>
      </c>
      <c r="C25" s="40">
        <v>0.8</v>
      </c>
      <c r="D25" s="40"/>
      <c r="E25" s="15" t="s">
        <v>77</v>
      </c>
    </row>
    <row r="26" spans="1:5" ht="15.6" x14ac:dyDescent="0.35">
      <c r="A26" s="41"/>
      <c r="B26" s="17" t="s">
        <v>72</v>
      </c>
      <c r="C26" s="16" cm="1">
        <f t="array" ref="C26">_xlfn.IFS(C24&lt;=1,-0.5,C24&lt;=2,-0.5+0.2*(C24-1),C24&lt;4,-0.3+0.05*(C24-2),TRUE,-0.2)</f>
        <v>-0.2</v>
      </c>
      <c r="D26" s="16" cm="1">
        <f t="array" ref="D26">_xlfn.IFS(D24&lt;=1,-0.5,D24&lt;=2,-0.5+0.2*(D24-1),D24&lt;4,-0.3+0.05*(D24-2),TRUE,-0.2)</f>
        <v>-0.5</v>
      </c>
      <c r="E26" s="15" t="s">
        <v>78</v>
      </c>
    </row>
    <row r="27" spans="1:5" ht="15.6" x14ac:dyDescent="0.35">
      <c r="A27" s="41"/>
      <c r="B27" s="17" t="s">
        <v>73</v>
      </c>
      <c r="C27" s="40">
        <v>-0.7</v>
      </c>
      <c r="D27" s="40"/>
      <c r="E27" s="15" t="s">
        <v>78</v>
      </c>
    </row>
    <row r="29" spans="1:5" ht="18" thickBot="1" x14ac:dyDescent="0.4">
      <c r="A29" s="3" t="s">
        <v>156</v>
      </c>
    </row>
    <row r="30" spans="1:5" ht="16.2" thickTop="1" x14ac:dyDescent="0.35">
      <c r="A30" s="4" t="s">
        <v>89</v>
      </c>
      <c r="B30" t="s">
        <v>146</v>
      </c>
    </row>
    <row r="31" spans="1:5" ht="15.6" x14ac:dyDescent="0.35">
      <c r="A31" s="4" t="s">
        <v>92</v>
      </c>
      <c r="B31" t="s">
        <v>147</v>
      </c>
    </row>
    <row r="32" spans="1:5" ht="15.6" x14ac:dyDescent="0.35">
      <c r="A32" s="4" t="s">
        <v>91</v>
      </c>
      <c r="B32" t="s">
        <v>147</v>
      </c>
    </row>
    <row r="33" spans="1:5" x14ac:dyDescent="0.3">
      <c r="A33" s="40" t="s">
        <v>70</v>
      </c>
      <c r="B33" s="40"/>
      <c r="C33" s="14" t="s">
        <v>64</v>
      </c>
      <c r="D33" s="14" t="s">
        <v>65</v>
      </c>
      <c r="E33" s="17" t="s">
        <v>150</v>
      </c>
    </row>
    <row r="34" spans="1:5" ht="15.6" x14ac:dyDescent="0.35">
      <c r="A34" s="40" t="s">
        <v>148</v>
      </c>
      <c r="B34" s="40"/>
      <c r="C34" s="38">
        <f>qh</f>
        <v>35.860576570786655</v>
      </c>
      <c r="D34" s="38"/>
      <c r="E34" s="17" t="s">
        <v>57</v>
      </c>
    </row>
    <row r="35" spans="1:5" ht="18" customHeight="1" x14ac:dyDescent="0.3">
      <c r="A35" s="35" t="s">
        <v>149</v>
      </c>
      <c r="B35" s="15" t="s">
        <v>158</v>
      </c>
      <c r="C35" s="30">
        <f>qh*G*$C26</f>
        <v>-6.0962980170337318</v>
      </c>
      <c r="D35" s="30">
        <f>qh*G*$D26</f>
        <v>-15.240745042584328</v>
      </c>
      <c r="E35" s="17" t="s">
        <v>57</v>
      </c>
    </row>
    <row r="36" spans="1:5" ht="18" customHeight="1" x14ac:dyDescent="0.3">
      <c r="A36" s="36"/>
      <c r="B36" s="15" t="s">
        <v>144</v>
      </c>
      <c r="C36" s="30">
        <f>C$35+$C$34*GCpi</f>
        <v>0.35860576570786584</v>
      </c>
      <c r="D36" s="30">
        <f>D35+$C34*GCpi</f>
        <v>-8.78584125984273</v>
      </c>
      <c r="E36" s="17" t="s">
        <v>57</v>
      </c>
    </row>
    <row r="37" spans="1:5" x14ac:dyDescent="0.3">
      <c r="A37" s="37"/>
      <c r="B37" s="15" t="s">
        <v>145</v>
      </c>
      <c r="C37" s="30">
        <f>C$35-$C$34*GCpi</f>
        <v>-12.551201799775329</v>
      </c>
      <c r="D37" s="30">
        <f>D$35-$C$34*GCpi</f>
        <v>-21.695648825325925</v>
      </c>
      <c r="E37" s="17" t="s">
        <v>57</v>
      </c>
    </row>
    <row r="38" spans="1:5" ht="18" customHeight="1" x14ac:dyDescent="0.3">
      <c r="A38" s="35" t="s">
        <v>151</v>
      </c>
      <c r="B38" s="15" t="s">
        <v>158</v>
      </c>
      <c r="C38" s="42">
        <f>qh*G*$C27</f>
        <v>-21.337043059618058</v>
      </c>
      <c r="D38" s="42"/>
      <c r="E38" s="17" t="s">
        <v>57</v>
      </c>
    </row>
    <row r="39" spans="1:5" ht="18" customHeight="1" x14ac:dyDescent="0.3">
      <c r="A39" s="36"/>
      <c r="B39" s="15" t="s">
        <v>144</v>
      </c>
      <c r="C39" s="42">
        <f>C$38+C$34*GCpi</f>
        <v>-14.88213927687646</v>
      </c>
      <c r="D39" s="42"/>
      <c r="E39" s="17" t="s">
        <v>57</v>
      </c>
    </row>
    <row r="40" spans="1:5" x14ac:dyDescent="0.3">
      <c r="A40" s="37"/>
      <c r="B40" s="15" t="s">
        <v>145</v>
      </c>
      <c r="C40" s="42">
        <f>C$38-C$34*GCpi</f>
        <v>-27.791946842359657</v>
      </c>
      <c r="D40" s="42"/>
      <c r="E40" s="17" t="s">
        <v>57</v>
      </c>
    </row>
    <row r="41" spans="1:5" x14ac:dyDescent="0.3">
      <c r="A41" s="4"/>
      <c r="C41" s="12"/>
      <c r="D41" s="12"/>
    </row>
    <row r="42" spans="1:5" ht="18" thickBot="1" x14ac:dyDescent="0.4">
      <c r="A42" s="3" t="s">
        <v>155</v>
      </c>
    </row>
    <row r="43" spans="1:5" ht="15" thickTop="1" x14ac:dyDescent="0.3">
      <c r="A43" s="4" t="s">
        <v>87</v>
      </c>
      <c r="B43" t="s">
        <v>153</v>
      </c>
      <c r="D43" s="12"/>
    </row>
    <row r="44" spans="1:5" ht="15.6" x14ac:dyDescent="0.35">
      <c r="A44" s="4" t="s">
        <v>49</v>
      </c>
      <c r="B44" t="s">
        <v>105</v>
      </c>
      <c r="D44" s="12"/>
    </row>
    <row r="45" spans="1:5" ht="15.6" x14ac:dyDescent="0.35">
      <c r="A45" s="4" t="s">
        <v>88</v>
      </c>
      <c r="B45" t="s">
        <v>154</v>
      </c>
      <c r="D45" s="12"/>
    </row>
    <row r="46" spans="1:5" ht="15.6" x14ac:dyDescent="0.35">
      <c r="A46" s="4" t="s">
        <v>90</v>
      </c>
      <c r="B46" t="s">
        <v>147</v>
      </c>
      <c r="D46" s="12"/>
    </row>
    <row r="47" spans="1:5" x14ac:dyDescent="0.3">
      <c r="A47" s="40" t="s">
        <v>84</v>
      </c>
      <c r="B47" s="40"/>
      <c r="C47" s="31" t="s">
        <v>85</v>
      </c>
      <c r="D47" s="31" t="s">
        <v>86</v>
      </c>
      <c r="E47" s="17" t="s">
        <v>150</v>
      </c>
    </row>
    <row r="48" spans="1:5" x14ac:dyDescent="0.3">
      <c r="A48" s="40" t="s">
        <v>79</v>
      </c>
      <c r="B48" s="40"/>
      <c r="C48" s="32">
        <v>31.5</v>
      </c>
      <c r="D48" s="32">
        <f>h</f>
        <v>62</v>
      </c>
      <c r="E48" s="17" t="s">
        <v>53</v>
      </c>
    </row>
    <row r="49" spans="1:5" ht="15.6" x14ac:dyDescent="0.35">
      <c r="A49" s="40" t="s">
        <v>157</v>
      </c>
      <c r="B49" s="40"/>
      <c r="C49" s="16">
        <f>2.01*(MAX(C48,15)/zg)^(2/alpha)</f>
        <v>0.99239385578351069</v>
      </c>
      <c r="D49" s="16">
        <f>2.01*(MAX(D48,15)/zg)^(2/alpha)</f>
        <v>1.1444475263859097</v>
      </c>
      <c r="E49" s="17" t="s">
        <v>76</v>
      </c>
    </row>
    <row r="50" spans="1:5" ht="15.6" x14ac:dyDescent="0.35">
      <c r="A50" s="40" t="s">
        <v>77</v>
      </c>
      <c r="B50" s="40"/>
      <c r="C50" s="22">
        <f>0.00256*C49*Kzt*Kd*V^2</f>
        <v>31.096066034662844</v>
      </c>
      <c r="D50" s="22">
        <f>0.00256*D49*Kzt*Kd*V^2</f>
        <v>35.860576570786655</v>
      </c>
      <c r="E50" s="17" t="s">
        <v>57</v>
      </c>
    </row>
    <row r="51" spans="1:5" ht="18" customHeight="1" x14ac:dyDescent="0.3">
      <c r="A51" s="35" t="s">
        <v>152</v>
      </c>
      <c r="B51" s="15" t="s">
        <v>158</v>
      </c>
      <c r="C51" s="30">
        <f>C50*G*$C25</f>
        <v>21.145324903570735</v>
      </c>
      <c r="D51" s="30">
        <f>D50*G*$C25</f>
        <v>24.385192068134927</v>
      </c>
      <c r="E51" s="17" t="s">
        <v>57</v>
      </c>
    </row>
    <row r="52" spans="1:5" ht="15" customHeight="1" x14ac:dyDescent="0.3">
      <c r="A52" s="36"/>
      <c r="B52" s="15" t="s">
        <v>144</v>
      </c>
      <c r="C52" s="30">
        <f>C$51+$C$34*GCpi</f>
        <v>27.600228686312335</v>
      </c>
      <c r="D52" s="30">
        <f>D$51+$C$34*GCpi</f>
        <v>30.840095850876523</v>
      </c>
      <c r="E52" s="17" t="s">
        <v>57</v>
      </c>
    </row>
    <row r="53" spans="1:5" x14ac:dyDescent="0.3">
      <c r="A53" s="37"/>
      <c r="B53" s="15" t="s">
        <v>145</v>
      </c>
      <c r="C53" s="30">
        <f>C$51-$C$34*GCpi</f>
        <v>14.690421120829138</v>
      </c>
      <c r="D53" s="30">
        <f>D$51-$C$34*GCpi</f>
        <v>17.930288285393331</v>
      </c>
      <c r="E53" s="17" t="s">
        <v>57</v>
      </c>
    </row>
    <row r="55" spans="1:5" ht="20.399999999999999" thickBot="1" x14ac:dyDescent="0.45">
      <c r="A55" s="2" t="s">
        <v>81</v>
      </c>
    </row>
    <row r="56" spans="1:5" ht="15" thickTop="1" x14ac:dyDescent="0.3">
      <c r="A56" s="20" t="s">
        <v>93</v>
      </c>
    </row>
    <row r="57" spans="1:5" x14ac:dyDescent="0.3">
      <c r="A57" s="20"/>
    </row>
    <row r="58" spans="1:5" ht="18" thickBot="1" x14ac:dyDescent="0.4">
      <c r="A58" s="34" t="s">
        <v>165</v>
      </c>
    </row>
    <row r="59" spans="1:5" ht="16.2" thickTop="1" x14ac:dyDescent="0.35">
      <c r="A59" s="4" t="s">
        <v>96</v>
      </c>
      <c r="B59" s="6">
        <v>67</v>
      </c>
      <c r="C59" t="s">
        <v>53</v>
      </c>
      <c r="D59" t="s">
        <v>97</v>
      </c>
    </row>
    <row r="60" spans="1:5" ht="15.6" x14ac:dyDescent="0.35">
      <c r="A60" s="4" t="s">
        <v>98</v>
      </c>
      <c r="B60" s="11">
        <f>2.01*(MAX(B59,15)/zg)^(2/alpha)</f>
        <v>1.1632875136116143</v>
      </c>
      <c r="D60" t="s">
        <v>61</v>
      </c>
    </row>
    <row r="61" spans="1:5" ht="15.6" x14ac:dyDescent="0.35">
      <c r="A61" s="4" t="s">
        <v>99</v>
      </c>
      <c r="B61" s="12">
        <f>0.00256*B60*Kzt*Kd*V^2</f>
        <v>36.450916266511769</v>
      </c>
      <c r="C61" t="s">
        <v>57</v>
      </c>
      <c r="D61" t="s">
        <v>58</v>
      </c>
    </row>
    <row r="62" spans="1:5" x14ac:dyDescent="0.3">
      <c r="B62" s="13" t="s">
        <v>71</v>
      </c>
      <c r="C62" s="13" t="s">
        <v>102</v>
      </c>
    </row>
    <row r="63" spans="1:5" ht="15.6" x14ac:dyDescent="0.35">
      <c r="A63" s="4" t="s">
        <v>101</v>
      </c>
      <c r="B63" s="5">
        <v>1.5</v>
      </c>
      <c r="C63" s="5">
        <v>-1</v>
      </c>
    </row>
    <row r="64" spans="1:5" ht="15.6" x14ac:dyDescent="0.35">
      <c r="A64" s="4" t="s">
        <v>103</v>
      </c>
      <c r="B64" s="19">
        <f>$B61*B63</f>
        <v>54.676374399767653</v>
      </c>
      <c r="C64" s="19">
        <f>$B61*C63</f>
        <v>-36.450916266511769</v>
      </c>
      <c r="D64" t="s">
        <v>57</v>
      </c>
      <c r="E64" t="s">
        <v>100</v>
      </c>
    </row>
    <row r="66" spans="1:5" ht="18" thickBot="1" x14ac:dyDescent="0.4">
      <c r="A66" s="34" t="s">
        <v>166</v>
      </c>
    </row>
    <row r="67" spans="1:5" ht="16.2" thickTop="1" x14ac:dyDescent="0.35">
      <c r="A67" s="4" t="s">
        <v>96</v>
      </c>
      <c r="B67" s="6">
        <v>72.75</v>
      </c>
      <c r="C67" t="s">
        <v>53</v>
      </c>
      <c r="D67" t="s">
        <v>97</v>
      </c>
    </row>
    <row r="68" spans="1:5" ht="15.6" x14ac:dyDescent="0.35">
      <c r="A68" s="4" t="s">
        <v>98</v>
      </c>
      <c r="B68" s="11">
        <f>2.01*(MAX(B67,15)/zg)^(2/alpha)</f>
        <v>1.1836276654734781</v>
      </c>
      <c r="D68" t="s">
        <v>61</v>
      </c>
    </row>
    <row r="69" spans="1:5" ht="15.6" x14ac:dyDescent="0.35">
      <c r="A69" s="4" t="s">
        <v>99</v>
      </c>
      <c r="B69" s="12">
        <f>0.00256*B68*Kzt*Kd*V^2</f>
        <v>37.088262721012157</v>
      </c>
      <c r="C69" t="s">
        <v>57</v>
      </c>
      <c r="D69" t="s">
        <v>58</v>
      </c>
    </row>
    <row r="70" spans="1:5" x14ac:dyDescent="0.3">
      <c r="B70" s="13" t="s">
        <v>71</v>
      </c>
      <c r="C70" s="13" t="s">
        <v>102</v>
      </c>
    </row>
    <row r="71" spans="1:5" ht="15.6" x14ac:dyDescent="0.35">
      <c r="A71" s="4" t="s">
        <v>101</v>
      </c>
      <c r="B71" s="5">
        <v>1.5</v>
      </c>
      <c r="C71" s="5">
        <v>-1</v>
      </c>
    </row>
    <row r="72" spans="1:5" ht="15.6" x14ac:dyDescent="0.35">
      <c r="A72" s="4" t="s">
        <v>103</v>
      </c>
      <c r="B72" s="19">
        <f>$B69*B71</f>
        <v>55.632394081518235</v>
      </c>
      <c r="C72" s="19">
        <f>$B69*C71</f>
        <v>-37.088262721012157</v>
      </c>
      <c r="D72" t="s">
        <v>57</v>
      </c>
      <c r="E72" t="s">
        <v>100</v>
      </c>
    </row>
  </sheetData>
  <mergeCells count="18">
    <mergeCell ref="A51:A53"/>
    <mergeCell ref="C38:D38"/>
    <mergeCell ref="A47:B47"/>
    <mergeCell ref="A48:B48"/>
    <mergeCell ref="A49:B49"/>
    <mergeCell ref="A50:B50"/>
    <mergeCell ref="C39:D39"/>
    <mergeCell ref="C40:D40"/>
    <mergeCell ref="A35:A37"/>
    <mergeCell ref="A38:A40"/>
    <mergeCell ref="C34:D34"/>
    <mergeCell ref="A23:B23"/>
    <mergeCell ref="A24:B24"/>
    <mergeCell ref="A25:A27"/>
    <mergeCell ref="C25:D25"/>
    <mergeCell ref="C27:D27"/>
    <mergeCell ref="A33:B33"/>
    <mergeCell ref="A34:B3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DDE6-2040-456B-8F66-6A3A39D21601}">
  <dimension ref="A1:I37"/>
  <sheetViews>
    <sheetView topLeftCell="A3" workbookViewId="0">
      <selection activeCell="B24" sqref="B24"/>
    </sheetView>
  </sheetViews>
  <sheetFormatPr defaultColWidth="10.6640625" defaultRowHeight="14.4" x14ac:dyDescent="0.3"/>
  <sheetData>
    <row r="1" spans="1:9" ht="23.4" x14ac:dyDescent="0.45">
      <c r="A1" s="1" t="s">
        <v>108</v>
      </c>
    </row>
    <row r="2" spans="1:9" x14ac:dyDescent="0.3">
      <c r="A2" t="s">
        <v>95</v>
      </c>
    </row>
    <row r="3" spans="1:9" x14ac:dyDescent="0.3">
      <c r="A3" s="8" t="s">
        <v>1</v>
      </c>
    </row>
    <row r="5" spans="1:9" ht="20.399999999999999" thickBot="1" x14ac:dyDescent="0.45">
      <c r="A5" s="2" t="s">
        <v>114</v>
      </c>
    </row>
    <row r="6" spans="1:9" ht="15" thickTop="1" x14ac:dyDescent="0.3">
      <c r="A6" s="8" t="s">
        <v>128</v>
      </c>
    </row>
    <row r="7" spans="1:9" x14ac:dyDescent="0.3">
      <c r="A7" s="8" t="s">
        <v>126</v>
      </c>
    </row>
    <row r="8" spans="1:9" x14ac:dyDescent="0.3">
      <c r="A8" s="4" t="s">
        <v>87</v>
      </c>
      <c r="B8" t="s">
        <v>118</v>
      </c>
    </row>
    <row r="9" spans="1:9" ht="15.6" x14ac:dyDescent="0.35">
      <c r="A9" s="4" t="s">
        <v>49</v>
      </c>
      <c r="B9" t="s">
        <v>105</v>
      </c>
    </row>
    <row r="10" spans="1:9" ht="15.6" x14ac:dyDescent="0.35">
      <c r="A10" s="4" t="s">
        <v>88</v>
      </c>
      <c r="B10" t="s">
        <v>104</v>
      </c>
    </row>
    <row r="11" spans="1:9" x14ac:dyDescent="0.3">
      <c r="A11" s="4" t="s">
        <v>52</v>
      </c>
      <c r="B11" t="s">
        <v>123</v>
      </c>
    </row>
    <row r="12" spans="1:9" x14ac:dyDescent="0.3">
      <c r="A12" s="4" t="s">
        <v>121</v>
      </c>
      <c r="B12" t="s">
        <v>122</v>
      </c>
    </row>
    <row r="13" spans="1:9" ht="15.6" x14ac:dyDescent="0.35">
      <c r="A13" s="4" t="s">
        <v>127</v>
      </c>
      <c r="B13" t="s">
        <v>129</v>
      </c>
    </row>
    <row r="14" spans="1:9" ht="15.6" x14ac:dyDescent="0.35">
      <c r="A14" s="4" t="s">
        <v>131</v>
      </c>
      <c r="B14" t="s">
        <v>132</v>
      </c>
    </row>
    <row r="15" spans="1:9" ht="15.6" x14ac:dyDescent="0.35">
      <c r="A15" s="23" t="s">
        <v>115</v>
      </c>
      <c r="B15" s="14" t="s">
        <v>79</v>
      </c>
      <c r="C15" s="14" t="s">
        <v>106</v>
      </c>
      <c r="D15" s="14" t="s">
        <v>112</v>
      </c>
      <c r="E15" s="14" t="s">
        <v>119</v>
      </c>
      <c r="F15" s="14" t="s">
        <v>39</v>
      </c>
      <c r="G15" s="14" t="s">
        <v>120</v>
      </c>
      <c r="H15" s="14" t="s">
        <v>113</v>
      </c>
      <c r="I15" s="14" t="s">
        <v>130</v>
      </c>
    </row>
    <row r="16" spans="1:9" x14ac:dyDescent="0.3">
      <c r="A16" s="24" t="s">
        <v>124</v>
      </c>
      <c r="B16" s="21">
        <f>(h+B32-1.5)/2</f>
        <v>68.708333333333343</v>
      </c>
      <c r="C16" s="16">
        <f>2.01*(MAX(B16,15)/zg)^(2/alpha)</f>
        <v>1.1694700120099724</v>
      </c>
      <c r="D16" s="22">
        <f>0.00256*C16*Kzt*Kd*V^2</f>
        <v>36.644641144325277</v>
      </c>
      <c r="E16" s="21">
        <f>75+5/12-60</f>
        <v>15.416666666666671</v>
      </c>
      <c r="F16" s="21">
        <v>25</v>
      </c>
      <c r="G16" s="16">
        <f>E16/F16</f>
        <v>0.61666666666666681</v>
      </c>
      <c r="H16" s="18" cm="1">
        <f t="array" ref="H16">_xlfn.IFS(G16&lt;=1,1.3,G16&lt;=7,1.3+(G16-1)*(1.4-1.3)/(7-1),G16&lt;25,1.4+(G16-7)*(2-1.4)/(25-7),TRUE,2)</f>
        <v>1.3</v>
      </c>
      <c r="I16" s="30">
        <f>D16*H16*G</f>
        <v>40.492328464479435</v>
      </c>
    </row>
    <row r="17" spans="1:9" x14ac:dyDescent="0.3">
      <c r="A17" s="24" t="s">
        <v>125</v>
      </c>
      <c r="B17" s="21">
        <f>(h+B32-1.5)/2</f>
        <v>68.708333333333343</v>
      </c>
      <c r="C17" s="16">
        <f>2.01*(MAX(B17,15)/zg)^(2/alpha)</f>
        <v>1.1694700120099724</v>
      </c>
      <c r="D17" s="22">
        <f>0.00256*C17*Kzt*Kd*V^2</f>
        <v>36.644641144325277</v>
      </c>
      <c r="E17" s="21">
        <f>75+5/12-60</f>
        <v>15.416666666666671</v>
      </c>
      <c r="F17" s="21">
        <v>13</v>
      </c>
      <c r="G17" s="16">
        <f>E17/F17</f>
        <v>1.1858974358974363</v>
      </c>
      <c r="H17" s="18" cm="1">
        <f t="array" ref="H17">_xlfn.IFS(G17&lt;=1,1.3,G17&lt;=7,1.3+(G17-1)*(1.4-1.3)/(7-1),G17&lt;25,1.4+(G17-7)*(2-1.4)/(25-7),TRUE,2)</f>
        <v>1.3030982905982906</v>
      </c>
      <c r="I17" s="30">
        <f>D17*H17*G</f>
        <v>40.588833849544351</v>
      </c>
    </row>
    <row r="18" spans="1:9" x14ac:dyDescent="0.3">
      <c r="A18" s="24" t="s">
        <v>116</v>
      </c>
      <c r="B18" s="21">
        <f>72.75-3.5/2</f>
        <v>71</v>
      </c>
      <c r="C18" s="16">
        <f>2.01*(MAX(B18,15)/zg)^(2/alpha)</f>
        <v>1.1775757828033511</v>
      </c>
      <c r="D18" s="22">
        <f>0.00256*C18*Kzt*Kd*V^2</f>
        <v>36.898630608673322</v>
      </c>
      <c r="E18" s="21">
        <v>3.5</v>
      </c>
      <c r="F18" s="21">
        <v>12</v>
      </c>
      <c r="G18" s="16">
        <f>E18/F18</f>
        <v>0.29166666666666669</v>
      </c>
      <c r="H18" s="18" cm="1">
        <f t="array" ref="H18">_xlfn.IFS(G18&lt;=1,1.3,G18&lt;=7,1.3+(G18-1)*(1.4-1.3)/(7-1),G18&lt;25,1.4+(G18-7)*(2-1.4)/(25-7),TRUE,2)</f>
        <v>1.3</v>
      </c>
      <c r="I18" s="22">
        <f>D18*H18*G</f>
        <v>40.772986822584024</v>
      </c>
    </row>
    <row r="19" spans="1:9" x14ac:dyDescent="0.3">
      <c r="A19" s="24" t="s">
        <v>117</v>
      </c>
      <c r="B19" s="21">
        <f>72.75+8.5/2</f>
        <v>77</v>
      </c>
      <c r="C19" s="16">
        <f>2.01*(MAX(B19,15)/zg)^(2/alpha)</f>
        <v>1.1978604007359883</v>
      </c>
      <c r="D19" s="22">
        <f>0.00256*C19*Kzt*Kd*V^2</f>
        <v>37.534236940821756</v>
      </c>
      <c r="E19" s="21">
        <v>8.5</v>
      </c>
      <c r="F19" s="21">
        <v>10</v>
      </c>
      <c r="G19" s="16">
        <f>E19/F19</f>
        <v>0.85</v>
      </c>
      <c r="H19" s="18" cm="1">
        <f t="array" ref="H19">_xlfn.IFS(G19&lt;=1,1.3,G19&lt;=7,1.3+(G19-1)*(1.4-1.3)/(7-1),G19&lt;25,1.4+(G19-7)*(2-1.4)/(25-7),TRUE,2)</f>
        <v>1.3</v>
      </c>
      <c r="I19" s="22">
        <f>D19*H19*G</f>
        <v>41.475331819608037</v>
      </c>
    </row>
    <row r="21" spans="1:9" ht="18" thickBot="1" x14ac:dyDescent="0.4">
      <c r="A21" s="3" t="s">
        <v>117</v>
      </c>
      <c r="B21" s="26"/>
      <c r="C21" s="27"/>
    </row>
    <row r="22" spans="1:9" ht="15" thickTop="1" x14ac:dyDescent="0.3">
      <c r="A22" s="26" t="s">
        <v>62</v>
      </c>
      <c r="B22" s="6">
        <v>56</v>
      </c>
      <c r="C22" t="s">
        <v>53</v>
      </c>
      <c r="D22" t="s">
        <v>133</v>
      </c>
    </row>
    <row r="23" spans="1:9" ht="15.6" x14ac:dyDescent="0.35">
      <c r="A23" s="4" t="s">
        <v>135</v>
      </c>
      <c r="B23" s="28">
        <f>F19*E19*I19/1000</f>
        <v>3.525403204666683</v>
      </c>
      <c r="C23" t="s">
        <v>134</v>
      </c>
      <c r="D23" t="s">
        <v>136</v>
      </c>
    </row>
    <row r="24" spans="1:9" ht="15.6" x14ac:dyDescent="0.35">
      <c r="A24" s="4" t="s">
        <v>137</v>
      </c>
      <c r="B24" s="28">
        <f>B22*E19*I19/1000</f>
        <v>19.742257946133424</v>
      </c>
      <c r="C24" t="s">
        <v>134</v>
      </c>
      <c r="D24" t="s">
        <v>138</v>
      </c>
    </row>
    <row r="26" spans="1:9" ht="18" thickBot="1" x14ac:dyDescent="0.4">
      <c r="A26" s="3" t="s">
        <v>139</v>
      </c>
    </row>
    <row r="27" spans="1:9" ht="15" thickTop="1" x14ac:dyDescent="0.3">
      <c r="A27" s="4" t="s">
        <v>140</v>
      </c>
      <c r="B27" s="19">
        <f>E18*I18</f>
        <v>142.70545387904409</v>
      </c>
      <c r="C27" t="s">
        <v>141</v>
      </c>
      <c r="D27" t="s">
        <v>142</v>
      </c>
    </row>
    <row r="30" spans="1:9" ht="20.399999999999999" thickBot="1" x14ac:dyDescent="0.45">
      <c r="A30" s="2" t="s">
        <v>110</v>
      </c>
    </row>
    <row r="31" spans="1:9" ht="15" thickTop="1" x14ac:dyDescent="0.3">
      <c r="A31" s="8" t="s">
        <v>111</v>
      </c>
    </row>
    <row r="32" spans="1:9" ht="15.6" x14ac:dyDescent="0.35">
      <c r="A32" s="4" t="s">
        <v>96</v>
      </c>
      <c r="B32" s="25">
        <f>75+5/12+1.5</f>
        <v>76.916666666666671</v>
      </c>
      <c r="C32" t="s">
        <v>53</v>
      </c>
      <c r="D32" t="s">
        <v>97</v>
      </c>
    </row>
    <row r="33" spans="1:5" ht="15.6" x14ac:dyDescent="0.35">
      <c r="A33" s="4" t="s">
        <v>98</v>
      </c>
      <c r="B33" s="11">
        <f>2.01*(MAX(B32,15)/zg)^(2/alpha)</f>
        <v>1.1975873607581942</v>
      </c>
      <c r="D33" t="s">
        <v>61</v>
      </c>
    </row>
    <row r="34" spans="1:5" ht="15.6" x14ac:dyDescent="0.35">
      <c r="A34" s="4" t="s">
        <v>99</v>
      </c>
      <c r="B34" s="12">
        <f>0.00256*B33*Kzt*Kd*V^2</f>
        <v>37.525681396941565</v>
      </c>
      <c r="C34" t="s">
        <v>57</v>
      </c>
      <c r="D34" t="s">
        <v>58</v>
      </c>
    </row>
    <row r="35" spans="1:5" x14ac:dyDescent="0.3">
      <c r="B35" s="13" t="s">
        <v>71</v>
      </c>
      <c r="C35" s="13" t="s">
        <v>102</v>
      </c>
    </row>
    <row r="36" spans="1:5" ht="15.6" x14ac:dyDescent="0.35">
      <c r="A36" s="4" t="s">
        <v>101</v>
      </c>
      <c r="B36" s="5">
        <v>1.5</v>
      </c>
      <c r="C36" s="5">
        <v>-1</v>
      </c>
    </row>
    <row r="37" spans="1:5" ht="15.6" x14ac:dyDescent="0.35">
      <c r="A37" s="4" t="s">
        <v>103</v>
      </c>
      <c r="B37" s="19">
        <f>$B34*B36</f>
        <v>56.288522095412347</v>
      </c>
      <c r="C37" s="19">
        <f>$B34*C36</f>
        <v>-37.525681396941565</v>
      </c>
      <c r="D37" t="s">
        <v>57</v>
      </c>
      <c r="E37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Chp 26</vt:lpstr>
      <vt:lpstr>Chp 27</vt:lpstr>
      <vt:lpstr>Chp 29</vt:lpstr>
      <vt:lpstr>alpha</vt:lpstr>
      <vt:lpstr>Bx</vt:lpstr>
      <vt:lpstr>By</vt:lpstr>
      <vt:lpstr>exposure</vt:lpstr>
      <vt:lpstr>G</vt:lpstr>
      <vt:lpstr>GCpi</vt:lpstr>
      <vt:lpstr>h</vt:lpstr>
      <vt:lpstr>Kd</vt:lpstr>
      <vt:lpstr>Kzt</vt:lpstr>
      <vt:lpstr>Lx</vt:lpstr>
      <vt:lpstr>Ly</vt:lpstr>
      <vt:lpstr>'Chp 27'!Print_Area</vt:lpstr>
      <vt:lpstr>qh</vt:lpstr>
      <vt:lpstr>V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Cao</dc:creator>
  <cp:lastModifiedBy>Yinchen Yi</cp:lastModifiedBy>
  <cp:lastPrinted>2026-10-23T17:17:19Z</cp:lastPrinted>
  <dcterms:created xsi:type="dcterms:W3CDTF">2026-10-22T21:19:58Z</dcterms:created>
  <dcterms:modified xsi:type="dcterms:W3CDTF">2026-10-26T23:47:46Z</dcterms:modified>
</cp:coreProperties>
</file>